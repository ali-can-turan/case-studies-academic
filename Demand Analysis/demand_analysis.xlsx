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elgelerim\New Life\Coursera\9. Supply Chain Analytics\Course_3\"/>
    </mc:Choice>
  </mc:AlternateContent>
  <xr:revisionPtr revIDLastSave="0" documentId="13_ncr:1_{FFD1858F-72F3-462A-A7EA-66CD3BCAC474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Demand" sheetId="37" r:id="rId1"/>
  </sheets>
  <definedNames>
    <definedName name="_xlchart.v1.0" hidden="1">Demand!$R$36:$R$59</definedName>
    <definedName name="_xlchart.v1.1" hidden="1">Demand!$R$36:$R$59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0" i="37" l="1"/>
  <c r="M35" i="37"/>
  <c r="M34" i="37"/>
  <c r="M32" i="37"/>
  <c r="M33" i="37"/>
  <c r="M31" i="37"/>
  <c r="O27" i="37" a="1"/>
  <c r="O28" i="37" a="1"/>
  <c r="O26" i="37" a="1"/>
  <c r="T61" i="37"/>
  <c r="T60" i="37"/>
  <c r="S60" i="37"/>
  <c r="T37" i="37"/>
  <c r="T38" i="37"/>
  <c r="T39" i="37"/>
  <c r="T40" i="37"/>
  <c r="T41" i="37"/>
  <c r="T42" i="37"/>
  <c r="T43" i="37"/>
  <c r="T44" i="37"/>
  <c r="T45" i="37"/>
  <c r="T46" i="37"/>
  <c r="T47" i="37"/>
  <c r="T48" i="37"/>
  <c r="T49" i="37"/>
  <c r="T50" i="37"/>
  <c r="T51" i="37"/>
  <c r="T52" i="37"/>
  <c r="T53" i="37"/>
  <c r="T54" i="37"/>
  <c r="T55" i="37"/>
  <c r="T56" i="37"/>
  <c r="T57" i="37"/>
  <c r="T58" i="37"/>
  <c r="T59" i="37"/>
  <c r="T36" i="37"/>
  <c r="S38" i="37"/>
  <c r="S39" i="37"/>
  <c r="S40" i="37"/>
  <c r="S41" i="37"/>
  <c r="S42" i="37"/>
  <c r="S43" i="37"/>
  <c r="S44" i="37"/>
  <c r="S45" i="37"/>
  <c r="S46" i="37"/>
  <c r="S47" i="37"/>
  <c r="S48" i="37"/>
  <c r="S49" i="37"/>
  <c r="S50" i="37"/>
  <c r="S51" i="37"/>
  <c r="S52" i="37"/>
  <c r="S53" i="37"/>
  <c r="S54" i="37"/>
  <c r="S55" i="37"/>
  <c r="S56" i="37"/>
  <c r="S57" i="37"/>
  <c r="S58" i="37"/>
  <c r="S59" i="37"/>
  <c r="S37" i="37"/>
  <c r="U53" i="37"/>
  <c r="U52" i="37"/>
  <c r="B29" i="3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<sst xmlns="http://schemas.openxmlformats.org/spreadsheetml/2006/main" count="58" uniqueCount="45">
  <si>
    <t>month year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</si>
  <si>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</si>
  <si>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</si>
  <si>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</si>
  <si>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</si>
  <si>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</si>
  <si>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</si>
  <si>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</si>
  <si>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</si>
  <si>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</si>
  <si>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</si>
  <si>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10-Piece Set sold units</t>
  </si>
  <si>
    <t>Time in month</t>
  </si>
  <si>
    <t>10-Piece Set sale price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</si>
  <si>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</si>
  <si>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</si>
  <si>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</si>
  <si>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</si>
  <si>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</si>
  <si>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</si>
  <si>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</si>
  <si>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</si>
  <si>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</si>
  <si>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</si>
  <si>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</si>
  <si>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</si>
  <si>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</si>
  <si>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</si>
  <si>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</si>
  <si>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</si>
  <si>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</si>
  <si>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</si>
  <si>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</si>
  <si>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</si>
  <si>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</si>
  <si>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</si>
  <si>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</si>
  <si>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</si>
  <si>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</si>
  <si>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</si>
  <si>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10-Piece Set sold units</t>
  </si>
  <si>
    <t>Residuals</t>
  </si>
  <si>
    <t>Preds</t>
  </si>
  <si>
    <t>MAE</t>
  </si>
  <si>
    <t>WMAPE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</si>
</sst>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#,##0;\-#,##0;#,##0;@"/>
    <numFmt numFmtId="165" formatCode="[$-409]mmm\-yy;@"/>
    <numFmt numFmtId="166" formatCode="0.0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Arial"/>
      <family val="2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indexed="64"/>
      </left>
      <right style="medium">
        <color indexed="64"/>
      </right>
      <top style="medium">
        <color rgb="FFAEAEAE"/>
      </top>
      <bottom style="medium">
        <color rgb="FFAEAEAE"/>
      </bottom>
      <diagonal/>
    </border>
    <border>
      <left style="medium">
        <color indexed="64"/>
      </left>
      <right style="medium">
        <color indexed="64"/>
      </right>
      <top style="medium">
        <color rgb="FFAEAEAE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18" fillId="0" borderId="0" xfId="0" applyFont="1"/>
    <xf numFmtId="0" fontId="21" fillId="0" borderId="0" xfId="0" applyFont="1"/>
    <xf numFmtId="0" fontId="14" fillId="0" borderId="0" xfId="0" applyFont="1"/>
    <xf numFmtId="0" fontId="22" fillId="0" borderId="0" xfId="0" applyFont="1"/>
    <xf numFmtId="0" fontId="23" fillId="0" borderId="0" xfId="0" applyFont="1"/>
    <xf numFmtId="49" fontId="21" fillId="35" borderId="11" xfId="0" applyNumberFormat="1" applyFont="1" applyFill="1" applyBorder="1" applyAlignment="1">
      <alignment horizontal="center" vertical="center" wrapText="1"/>
    </xf>
    <xf numFmtId="49" fontId="19" fillId="36" borderId="10" xfId="0" applyNumberFormat="1" applyFont="1" applyFill="1" applyBorder="1" applyAlignment="1">
      <alignment horizontal="center" vertical="center" wrapText="1"/>
    </xf>
    <xf numFmtId="0" fontId="18" fillId="36" borderId="14" xfId="0" applyFont="1" applyFill="1" applyBorder="1" applyAlignment="1">
      <alignment horizontal="center" vertical="center" wrapText="1"/>
    </xf>
    <xf numFmtId="8" fontId="19" fillId="36" borderId="10" xfId="42" applyNumberFormat="1" applyFont="1" applyFill="1" applyBorder="1" applyAlignment="1">
      <alignment horizontal="right" vertical="center" wrapText="1"/>
    </xf>
    <xf numFmtId="164" fontId="21" fillId="33" borderId="11" xfId="0" applyNumberFormat="1" applyFont="1" applyFill="1" applyBorder="1" applyAlignment="1">
      <alignment horizontal="right" vertical="center" wrapText="1"/>
    </xf>
    <xf numFmtId="164" fontId="21" fillId="35" borderId="11" xfId="0" applyNumberFormat="1" applyFont="1" applyFill="1" applyBorder="1" applyAlignment="1">
      <alignment horizontal="right" vertical="center" wrapText="1"/>
    </xf>
    <xf numFmtId="164" fontId="21" fillId="35" borderId="12" xfId="0" applyNumberFormat="1" applyFont="1" applyFill="1" applyBorder="1" applyAlignment="1">
      <alignment horizontal="right" vertical="center" wrapText="1"/>
    </xf>
    <xf numFmtId="0" fontId="0" fillId="36" borderId="14" xfId="0" applyFill="1" applyBorder="1"/>
    <xf numFmtId="1" fontId="20" fillId="36" borderId="0" xfId="0" applyNumberFormat="1" applyFont="1" applyFill="1" applyAlignment="1">
      <alignment horizontal="center" vertical="center"/>
    </xf>
    <xf numFmtId="164" fontId="19" fillId="36" borderId="0" xfId="0" applyNumberFormat="1" applyFont="1" applyFill="1" applyAlignment="1">
      <alignment horizontal="right" vertical="center" wrapText="1"/>
    </xf>
    <xf numFmtId="164" fontId="19" fillId="36" borderId="15" xfId="0" applyNumberFormat="1" applyFont="1" applyFill="1" applyBorder="1" applyAlignment="1">
      <alignment horizontal="right" vertical="center" wrapText="1"/>
    </xf>
    <xf numFmtId="164" fontId="19" fillId="36" borderId="13" xfId="0" applyNumberFormat="1" applyFont="1" applyFill="1" applyBorder="1" applyAlignment="1">
      <alignment horizontal="right" vertical="center" wrapText="1"/>
    </xf>
    <xf numFmtId="164" fontId="19" fillId="36" borderId="16" xfId="0" applyNumberFormat="1" applyFont="1" applyFill="1" applyBorder="1" applyAlignment="1">
      <alignment horizontal="right" vertical="center" wrapText="1"/>
    </xf>
    <xf numFmtId="165" fontId="19" fillId="34" borderId="10" xfId="0" applyNumberFormat="1" applyFont="1" applyFill="1" applyBorder="1" applyAlignment="1">
      <alignment horizontal="center" vertical="center" wrapText="1"/>
    </xf>
    <xf numFmtId="165" fontId="18" fillId="34" borderId="10" xfId="0" applyNumberFormat="1" applyFont="1" applyFill="1" applyBorder="1" applyAlignment="1">
      <alignment horizontal="center" vertical="center" wrapText="1"/>
    </xf>
    <xf numFmtId="165" fontId="18" fillId="0" borderId="0" xfId="0" applyNumberFormat="1" applyFont="1"/>
    <xf numFmtId="165" fontId="21" fillId="0" borderId="0" xfId="0" applyNumberFormat="1" applyFont="1"/>
    <xf numFmtId="1" fontId="0" fillId="0" borderId="0" xfId="0" applyNumberFormat="1"/>
    <xf numFmtId="166" fontId="0" fillId="0" borderId="0" xfId="0" applyNumberFormat="1"/>
    <xf numFmtId="1" fontId="14" fillId="0" borderId="0" xfId="0" applyNumberFormat="1" applyFont="1"/>
    <xf numFmtId="164" fontId="21" fillId="0" borderId="0" xfId="0" applyNumberFormat="1" applyFont="1"/>
    <xf numFmtId="0" fontId="24" fillId="0" borderId="0" xfId="0" applyFont="1" applyAlignment="1">
      <alignment horizontal="center"/>
    </xf>
    <xf numFmtId="0" fontId="0" fillId="0" borderId="13" xfId="0" applyBorder="1"/>
    <xf numFmtId="0" fontId="24" fillId="0" borderId="17" xfId="0" applyFont="1" applyBorder="1" applyAlignment="1">
      <alignment horizontal="center"/>
    </xf>
    <xf numFmtId="0" fontId="24" fillId="0" borderId="17" xfId="0" applyFont="1" applyBorder="1" applyAlignment="1">
      <alignment horizontal="centerContinuous"/>
    </xf>
    <xf numFmtId="10" fontId="0" fillId="0" borderId="0" xfId="43" applyNumberFormat="1" applyFont="1"/>
    <xf numFmtId="0" fontId="0" fillId="0" borderId="0" xfId="0" applyBorder="1"/>
    <xf numFmtId="0" fontId="24" fillId="0" borderId="0" xfId="0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2000"/>
              <a:t>Test</a:t>
            </a:r>
            <a:r>
              <a:rPr lang="tr-TR" sz="2000" baseline="0"/>
              <a:t> - Pred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Demand!$Q$35</c:f>
              <c:strCache>
                <c:ptCount val="1"/>
                <c:pt idx="0">
                  <c:v>Predicted 10-Piece Set sold 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Demand!$Q$36:$Q$59</c:f>
              <c:numCache>
                <c:formatCode>General</c:formatCode>
                <c:ptCount val="24"/>
                <c:pt idx="0">
                  <c:v>222.9353932584263</c:v>
                </c:pt>
                <c:pt idx="1">
                  <c:v>347.01123595505607</c:v>
                </c:pt>
                <c:pt idx="2">
                  <c:v>361.01123595505555</c:v>
                </c:pt>
                <c:pt idx="3">
                  <c:v>405.01123595505612</c:v>
                </c:pt>
                <c:pt idx="4">
                  <c:v>287.01123595505572</c:v>
                </c:pt>
                <c:pt idx="5">
                  <c:v>136.01123595505626</c:v>
                </c:pt>
                <c:pt idx="6">
                  <c:v>226.51123595505589</c:v>
                </c:pt>
                <c:pt idx="7">
                  <c:v>340.0112359550555</c:v>
                </c:pt>
                <c:pt idx="8">
                  <c:v>347.58707865168526</c:v>
                </c:pt>
                <c:pt idx="9">
                  <c:v>622.49999999999932</c:v>
                </c:pt>
                <c:pt idx="10">
                  <c:v>702.99999999999989</c:v>
                </c:pt>
                <c:pt idx="11">
                  <c:v>338.49999999999955</c:v>
                </c:pt>
                <c:pt idx="12">
                  <c:v>409.91292134831474</c:v>
                </c:pt>
                <c:pt idx="13">
                  <c:v>533.98876404494354</c:v>
                </c:pt>
                <c:pt idx="14">
                  <c:v>547.98876404494308</c:v>
                </c:pt>
                <c:pt idx="15">
                  <c:v>591.98876404494365</c:v>
                </c:pt>
                <c:pt idx="16">
                  <c:v>473.98876404494325</c:v>
                </c:pt>
                <c:pt idx="17">
                  <c:v>322.98876404494376</c:v>
                </c:pt>
                <c:pt idx="18">
                  <c:v>413.48876404494342</c:v>
                </c:pt>
                <c:pt idx="19">
                  <c:v>526.98876404494399</c:v>
                </c:pt>
                <c:pt idx="20">
                  <c:v>534.56460674157279</c:v>
                </c:pt>
                <c:pt idx="21">
                  <c:v>1543.4999999999993</c:v>
                </c:pt>
                <c:pt idx="22">
                  <c:v>1624</c:v>
                </c:pt>
                <c:pt idx="23">
                  <c:v>1259.4999999999995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6-4896-B714-CFAC715121D3}"/>
            </c:ext>
          </c:extLst>
        </c:ser>
        <c:ser>
          <c:idx val="1"/>
          <c:order val="1"/>
          <c:tx>
            <c:strRef>
              <c:f>Demand!$B$1</c:f>
              <c:strCache>
                <c:ptCount val="1"/>
                <c:pt idx="0">
                  <c:v>10-Piece Set sold units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Demand!$B$2:$B$25</c:f>
              <c:numCache>
                <c:formatCode>#,##0;\-#,##0;#,##0;@</c:formatCode>
                <c:ptCount val="24"/>
                <c:pt idx="0">
                  <c:v>219</c:v>
                </c:pt>
                <c:pt idx="1">
                  <c:v>175</c:v>
                </c:pt>
                <c:pt idx="2">
                  <c:v>306</c:v>
                </c:pt>
                <c:pt idx="3">
                  <c:v>394</c:v>
                </c:pt>
                <c:pt idx="4">
                  <c:v>394</c:v>
                </c:pt>
                <c:pt idx="5">
                  <c:v>131</c:v>
                </c:pt>
                <c:pt idx="6">
                  <c:v>131</c:v>
                </c:pt>
                <c:pt idx="7">
                  <c:v>438</c:v>
                </c:pt>
                <c:pt idx="8">
                  <c:v>525</c:v>
                </c:pt>
                <c:pt idx="9">
                  <c:v>613</c:v>
                </c:pt>
                <c:pt idx="10">
                  <c:v>657</c:v>
                </c:pt>
                <c:pt idx="11">
                  <c:v>394</c:v>
                </c:pt>
                <c:pt idx="12">
                  <c:v>354</c:v>
                </c:pt>
                <c:pt idx="13">
                  <c:v>706</c:v>
                </c:pt>
                <c:pt idx="14">
                  <c:v>603</c:v>
                </c:pt>
                <c:pt idx="15">
                  <c:v>603</c:v>
                </c:pt>
                <c:pt idx="16">
                  <c:v>367</c:v>
                </c:pt>
                <c:pt idx="17">
                  <c:v>328</c:v>
                </c:pt>
                <c:pt idx="18">
                  <c:v>509</c:v>
                </c:pt>
                <c:pt idx="19">
                  <c:v>429</c:v>
                </c:pt>
                <c:pt idx="20">
                  <c:v>417</c:v>
                </c:pt>
                <c:pt idx="21">
                  <c:v>1553</c:v>
                </c:pt>
                <c:pt idx="22">
                  <c:v>1670</c:v>
                </c:pt>
                <c:pt idx="23">
                  <c:v>1204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F6-4896-B714-CFAC71512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3766672"/>
        <c:axId val="1710381312"/>
      </c:barChart>
      <c:catAx>
        <c:axId val="1663766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600"/>
                  <a:t>Months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381312"/>
        <c:crosses val="autoZero"/>
        <c:auto val="1"/>
        <c:lblAlgn val="ctr"/>
        <c:lblOffset val="100"/>
        <c:noMultiLvlLbl val="0"/>
      </c:catAx>
      <c:valAx>
        <c:axId val="171038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600"/>
                  <a:t>Demand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76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2000"/>
              <a:t>Test - Pred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Predicted 10-Piece Set sold units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Demand!$B$2:$B$25</c:f>
              <c:numCache>
                <c:formatCode>#,##0;\-#,##0;#,##0;@</c:formatCode>
                <c:ptCount val="24"/>
                <c:pt idx="0">
                  <c:v>219</c:v>
                </c:pt>
                <c:pt idx="1">
                  <c:v>175</c:v>
                </c:pt>
                <c:pt idx="2">
                  <c:v>306</c:v>
                </c:pt>
                <c:pt idx="3">
                  <c:v>394</c:v>
                </c:pt>
                <c:pt idx="4">
                  <c:v>394</c:v>
                </c:pt>
                <c:pt idx="5">
                  <c:v>131</c:v>
                </c:pt>
                <c:pt idx="6">
                  <c:v>131</c:v>
                </c:pt>
                <c:pt idx="7">
                  <c:v>438</c:v>
                </c:pt>
                <c:pt idx="8">
                  <c:v>525</c:v>
                </c:pt>
                <c:pt idx="9">
                  <c:v>613</c:v>
                </c:pt>
                <c:pt idx="10">
                  <c:v>657</c:v>
                </c:pt>
                <c:pt idx="11">
                  <c:v>394</c:v>
                </c:pt>
                <c:pt idx="12">
                  <c:v>354</c:v>
                </c:pt>
                <c:pt idx="13">
                  <c:v>706</c:v>
                </c:pt>
                <c:pt idx="14">
                  <c:v>603</c:v>
                </c:pt>
                <c:pt idx="15">
                  <c:v>603</c:v>
                </c:pt>
                <c:pt idx="16">
                  <c:v>367</c:v>
                </c:pt>
                <c:pt idx="17">
                  <c:v>328</c:v>
                </c:pt>
                <c:pt idx="18">
                  <c:v>509</c:v>
                </c:pt>
                <c:pt idx="19">
                  <c:v>429</c:v>
                </c:pt>
                <c:pt idx="20">
                  <c:v>417</c:v>
                </c:pt>
                <c:pt idx="21">
                  <c:v>1553</c:v>
                </c:pt>
                <c:pt idx="22">
                  <c:v>1670</c:v>
                </c:pt>
                <c:pt idx="23">
                  <c:v>1204</c:v>
                </c:pt>
              </c:numCache>
            </c:numRef>
          </c:xVal>
          <c:yVal>
            <c:numRef>
              <c:f>Demand!$Q$36:$Q$59</c:f>
              <c:numCache>
                <c:formatCode>General</c:formatCode>
                <c:ptCount val="24"/>
                <c:pt idx="0">
                  <c:v>222.9353932584263</c:v>
                </c:pt>
                <c:pt idx="1">
                  <c:v>347.01123595505607</c:v>
                </c:pt>
                <c:pt idx="2">
                  <c:v>361.01123595505555</c:v>
                </c:pt>
                <c:pt idx="3">
                  <c:v>405.01123595505612</c:v>
                </c:pt>
                <c:pt idx="4">
                  <c:v>287.01123595505572</c:v>
                </c:pt>
                <c:pt idx="5">
                  <c:v>136.01123595505626</c:v>
                </c:pt>
                <c:pt idx="6">
                  <c:v>226.51123595505589</c:v>
                </c:pt>
                <c:pt idx="7">
                  <c:v>340.0112359550555</c:v>
                </c:pt>
                <c:pt idx="8">
                  <c:v>347.58707865168526</c:v>
                </c:pt>
                <c:pt idx="9">
                  <c:v>622.49999999999932</c:v>
                </c:pt>
                <c:pt idx="10">
                  <c:v>702.99999999999989</c:v>
                </c:pt>
                <c:pt idx="11">
                  <c:v>338.49999999999955</c:v>
                </c:pt>
                <c:pt idx="12">
                  <c:v>409.91292134831474</c:v>
                </c:pt>
                <c:pt idx="13">
                  <c:v>533.98876404494354</c:v>
                </c:pt>
                <c:pt idx="14">
                  <c:v>547.98876404494308</c:v>
                </c:pt>
                <c:pt idx="15">
                  <c:v>591.98876404494365</c:v>
                </c:pt>
                <c:pt idx="16">
                  <c:v>473.98876404494325</c:v>
                </c:pt>
                <c:pt idx="17">
                  <c:v>322.98876404494376</c:v>
                </c:pt>
                <c:pt idx="18">
                  <c:v>413.48876404494342</c:v>
                </c:pt>
                <c:pt idx="19">
                  <c:v>526.98876404494399</c:v>
                </c:pt>
                <c:pt idx="20">
                  <c:v>534.56460674157279</c:v>
                </c:pt>
                <c:pt idx="21">
                  <c:v>1543.4999999999993</c:v>
                </c:pt>
                <c:pt idx="22">
                  <c:v>1624</c:v>
                </c:pt>
                <c:pt idx="23">
                  <c:v>1259.4999999999995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96-4F12-B240-392036217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351696"/>
        <c:axId val="1556707680"/>
      </c:scatterChart>
      <c:scatterChart>
        <c:scatterStyle val="smoothMarker"/>
        <c:varyColors val="0"/>
        <c:ser>
          <c:idx val="0"/>
          <c:order val="0"/>
          <c:tx>
            <c:v>10-Piece Set sold units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Demand!$B$2:$B$25</c:f>
              <c:numCache>
                <c:formatCode>#,##0;\-#,##0;#,##0;@</c:formatCode>
                <c:ptCount val="24"/>
                <c:pt idx="0">
                  <c:v>219</c:v>
                </c:pt>
                <c:pt idx="1">
                  <c:v>175</c:v>
                </c:pt>
                <c:pt idx="2">
                  <c:v>306</c:v>
                </c:pt>
                <c:pt idx="3">
                  <c:v>394</c:v>
                </c:pt>
                <c:pt idx="4">
                  <c:v>394</c:v>
                </c:pt>
                <c:pt idx="5">
                  <c:v>131</c:v>
                </c:pt>
                <c:pt idx="6">
                  <c:v>131</c:v>
                </c:pt>
                <c:pt idx="7">
                  <c:v>438</c:v>
                </c:pt>
                <c:pt idx="8">
                  <c:v>525</c:v>
                </c:pt>
                <c:pt idx="9">
                  <c:v>613</c:v>
                </c:pt>
                <c:pt idx="10">
                  <c:v>657</c:v>
                </c:pt>
                <c:pt idx="11">
                  <c:v>394</c:v>
                </c:pt>
                <c:pt idx="12">
                  <c:v>354</c:v>
                </c:pt>
                <c:pt idx="13">
                  <c:v>706</c:v>
                </c:pt>
                <c:pt idx="14">
                  <c:v>603</c:v>
                </c:pt>
                <c:pt idx="15">
                  <c:v>603</c:v>
                </c:pt>
                <c:pt idx="16">
                  <c:v>367</c:v>
                </c:pt>
                <c:pt idx="17">
                  <c:v>328</c:v>
                </c:pt>
                <c:pt idx="18">
                  <c:v>509</c:v>
                </c:pt>
                <c:pt idx="19">
                  <c:v>429</c:v>
                </c:pt>
                <c:pt idx="20">
                  <c:v>417</c:v>
                </c:pt>
                <c:pt idx="21">
                  <c:v>1553</c:v>
                </c:pt>
                <c:pt idx="22">
                  <c:v>1670</c:v>
                </c:pt>
                <c:pt idx="23">
                  <c:v>1204</c:v>
                </c:pt>
              </c:numCache>
            </c:numRef>
          </c:xVal>
          <c:yVal>
            <c:numRef>
              <c:f>Demand!$B$2:$B$25</c:f>
              <c:numCache>
                <c:formatCode>#,##0;\-#,##0;#,##0;@</c:formatCode>
                <c:ptCount val="24"/>
                <c:pt idx="0">
                  <c:v>219</c:v>
                </c:pt>
                <c:pt idx="1">
                  <c:v>175</c:v>
                </c:pt>
                <c:pt idx="2">
                  <c:v>306</c:v>
                </c:pt>
                <c:pt idx="3">
                  <c:v>394</c:v>
                </c:pt>
                <c:pt idx="4">
                  <c:v>394</c:v>
                </c:pt>
                <c:pt idx="5">
                  <c:v>131</c:v>
                </c:pt>
                <c:pt idx="6">
                  <c:v>131</c:v>
                </c:pt>
                <c:pt idx="7">
                  <c:v>438</c:v>
                </c:pt>
                <c:pt idx="8">
                  <c:v>525</c:v>
                </c:pt>
                <c:pt idx="9">
                  <c:v>613</c:v>
                </c:pt>
                <c:pt idx="10">
                  <c:v>657</c:v>
                </c:pt>
                <c:pt idx="11">
                  <c:v>394</c:v>
                </c:pt>
                <c:pt idx="12">
                  <c:v>354</c:v>
                </c:pt>
                <c:pt idx="13">
                  <c:v>706</c:v>
                </c:pt>
                <c:pt idx="14">
                  <c:v>603</c:v>
                </c:pt>
                <c:pt idx="15">
                  <c:v>603</c:v>
                </c:pt>
                <c:pt idx="16">
                  <c:v>367</c:v>
                </c:pt>
                <c:pt idx="17">
                  <c:v>328</c:v>
                </c:pt>
                <c:pt idx="18">
                  <c:v>509</c:v>
                </c:pt>
                <c:pt idx="19">
                  <c:v>429</c:v>
                </c:pt>
                <c:pt idx="20">
                  <c:v>417</c:v>
                </c:pt>
                <c:pt idx="21">
                  <c:v>1553</c:v>
                </c:pt>
                <c:pt idx="22">
                  <c:v>1670</c:v>
                </c:pt>
                <c:pt idx="23">
                  <c:v>1204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96-4F12-B240-392036217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351696"/>
        <c:axId val="1556707680"/>
      </c:scatterChart>
      <c:valAx>
        <c:axId val="169035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600"/>
                  <a:t>Demand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-#,##0;#,##0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707680"/>
        <c:crosses val="autoZero"/>
        <c:crossBetween val="midCat"/>
      </c:valAx>
      <c:valAx>
        <c:axId val="155670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sz="1600"/>
                  <a:t>Demand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351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Demand Trend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Demand!$B$2:$B$25</c:f>
              <c:numCache>
                <c:formatCode>#,##0;\-#,##0;#,##0;@</c:formatCode>
                <c:ptCount val="24"/>
                <c:pt idx="0">
                  <c:v>219</c:v>
                </c:pt>
                <c:pt idx="1">
                  <c:v>175</c:v>
                </c:pt>
                <c:pt idx="2">
                  <c:v>306</c:v>
                </c:pt>
                <c:pt idx="3">
                  <c:v>394</c:v>
                </c:pt>
                <c:pt idx="4">
                  <c:v>394</c:v>
                </c:pt>
                <c:pt idx="5">
                  <c:v>131</c:v>
                </c:pt>
                <c:pt idx="6">
                  <c:v>131</c:v>
                </c:pt>
                <c:pt idx="7">
                  <c:v>438</c:v>
                </c:pt>
                <c:pt idx="8">
                  <c:v>525</c:v>
                </c:pt>
                <c:pt idx="9">
                  <c:v>613</c:v>
                </c:pt>
                <c:pt idx="10">
                  <c:v>657</c:v>
                </c:pt>
                <c:pt idx="11">
                  <c:v>394</c:v>
                </c:pt>
                <c:pt idx="12">
                  <c:v>354</c:v>
                </c:pt>
                <c:pt idx="13">
                  <c:v>706</c:v>
                </c:pt>
                <c:pt idx="14">
                  <c:v>603</c:v>
                </c:pt>
                <c:pt idx="15">
                  <c:v>603</c:v>
                </c:pt>
                <c:pt idx="16">
                  <c:v>367</c:v>
                </c:pt>
                <c:pt idx="17">
                  <c:v>328</c:v>
                </c:pt>
                <c:pt idx="18">
                  <c:v>509</c:v>
                </c:pt>
                <c:pt idx="19">
                  <c:v>429</c:v>
                </c:pt>
                <c:pt idx="20">
                  <c:v>417</c:v>
                </c:pt>
                <c:pt idx="21">
                  <c:v>1553</c:v>
                </c:pt>
                <c:pt idx="22">
                  <c:v>1670</c:v>
                </c:pt>
                <c:pt idx="23">
                  <c:v>1204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84-4312-85D6-D864C3A2B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3218272"/>
        <c:axId val="1556773920"/>
      </c:lineChart>
      <c:catAx>
        <c:axId val="1743218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Months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773920"/>
        <c:crosses val="autoZero"/>
        <c:auto val="1"/>
        <c:lblAlgn val="ctr"/>
        <c:lblOffset val="100"/>
        <c:noMultiLvlLbl val="0"/>
      </c:catAx>
      <c:valAx>
        <c:axId val="155677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Demand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-#,##0;#,##0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21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2000"/>
            </a:pPr>
            <a:r>
              <a:rPr lang="tr-TR" sz="20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rPr>
              <a:t>Residuals Distribution </a:t>
            </a:r>
            <a:endPara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00000000-4AB1-473E-9624-B4B55E3C6FE5}"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.159999996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/>
                </a:pPr>
                <a:r>
                  <a:rPr lang="tr-TR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</a:rPr>
                  <a:t>Residuals</a:t>
                </a:r>
                <a:endParaRPr lang="en-US" sz="1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tickLabels/>
        <cx:numFmt formatCode="#,##0" sourceLinked="0"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/>
                </a:pPr>
                <a:r>
                  <a:rPr lang="tr-TR" sz="16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/>
                  </a:rPr>
                  <a:t>Count</a:t>
                </a:r>
                <a:endParaRPr lang="en-US" sz="1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rich>
          </cx:tx>
        </cx:title>
        <cx:majorGridlines>
          <cx:spPr>
            <a:ln>
              <a:noFill/>
            </a:ln>
          </cx:spPr>
        </cx:majorGridlines>
        <cx:tickLabels/>
      </cx:axis>
    </cx:plotArea>
  </cx:chart>
  <cx:spPr>
    <a:ln>
      <a:solidFill>
        <a:srgbClr val="FF0000">
          <a:alpha val="93000"/>
        </a:srgb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298450</xdr:colOff>
      <xdr:row>30</xdr:row>
      <xdr:rowOff>52388</xdr:rowOff>
    </xdr:from>
    <xdr:to>
      <xdr:col>10</xdr:col>
      <xdr:colOff>241300</xdr:colOff>
      <xdr:row>50</xdr:row>
      <xdr:rowOff>155575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1D25D6-E234-3953-BB27-21186DBDA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447040</xdr:colOff>
      <xdr:row>15</xdr:row>
      <xdr:rowOff>115888</xdr:rowOff>
    </xdr:from>
    <xdr:to>
      <xdr:col>35</xdr:col>
      <xdr:colOff>180340</xdr:colOff>
      <xdr:row>29</xdr:row>
      <xdr:rowOff>51118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3" name="Chart 42">
              <a:extLst>
                <a:ext uri="{FF2B5EF4-FFF2-40B4-BE49-F238E27FC236}">
                  <a16:creationId xmlns:a16="http://schemas.microsoft.com/office/drawing/2014/main" id="{0D99FE62-323A-38BF-17E5-65B3058C2B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85840" y="3367088"/>
              <a:ext cx="6438900" cy="27800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23</xdr:col>
      <xdr:colOff>288925</xdr:colOff>
      <xdr:row>32</xdr:row>
      <xdr:rowOff>131762</xdr:rowOff>
    </xdr:from>
    <xdr:to>
      <xdr:col>35</xdr:col>
      <xdr:colOff>127000</xdr:colOff>
      <xdr:row>47</xdr:row>
      <xdr:rowOff>57149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3177F83-B5E9-313D-A5A4-D1697659F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336550</xdr:colOff>
      <xdr:row>0</xdr:row>
      <xdr:rowOff>73343</xdr:rowOff>
    </xdr:from>
    <xdr:to>
      <xdr:col>30</xdr:col>
      <xdr:colOff>525145</xdr:colOff>
      <xdr:row>14</xdr:row>
      <xdr:rowOff>43815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2ED21936-78AB-47A4-441C-E18A398AF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9"/>
  <sheetViews>
    <sheetView showGridLines="0" tabSelected="1" zoomScale="40" zoomScaleNormal="40" workbookViewId="0">
      <selection activeCell="O44" sqref="O44"/>
    </sheetView>
  </sheetViews>
  <sheetFormatPr defaultRowHeight="15.6" x14ac:dyDescent="0.3"/>
  <cols>
    <col min="1" max="1" width="17.77734375" style="21" customWidth="1"/>
    <col min="2" max="2" width="14.44140625" style="2" bestFit="1" customWidth="1"/>
    <col min="3" max="3" width="14.77734375" customWidth="1"/>
    <col min="4" max="4" width="14.77734375" style="1" customWidth="1"/>
    <col min="5" max="5" width="8.77734375" customWidth="1"/>
    <col min="6" max="11" width="7.21875" customWidth="1"/>
    <col min="12" max="12" width="9.44140625" customWidth="1"/>
    <col min="13" max="14" width="7.21875" customWidth="1"/>
    <col min="15" max="15" width="16.6640625" bestFit="1" customWidth="1"/>
    <col min="16" max="16" width="11.21875" customWidth="1"/>
    <col min="17" max="17" width="19.6640625" bestFit="1" customWidth="1"/>
    <col min="18" max="18" width="28.6640625" bestFit="1" customWidth="1"/>
  </cols>
  <sheetData>
    <row r="1" spans="1:25" ht="31.8" thickBot="1" x14ac:dyDescent="0.35">
      <c r="A1" s="20" t="s">
        <v>0</v>
      </c>
      <c r="B1" s="6" t="s">
        <v>11</v>
      </c>
      <c r="C1" s="8" t="s">
        <v>12</v>
      </c>
      <c r="D1" s="7" t="s">
        <v>13</v>
      </c>
      <c r="E1" s="13" t="s">
        <v>1</v>
      </c>
      <c r="F1" s="13" t="s">
        <v>2</v>
      </c>
      <c r="G1" s="13" t="s">
        <v>3</v>
      </c>
      <c r="H1" s="13" t="s">
        <v>4</v>
      </c>
      <c r="I1" s="13" t="s">
        <v>5</v>
      </c>
      <c r="J1" s="13" t="s">
        <v>6</v>
      </c>
      <c r="K1" s="13" t="s">
        <v>7</v>
      </c>
      <c r="L1" s="13" t="s">
        <v>8</v>
      </c>
      <c r="M1" s="13" t="s">
        <v>9</v>
      </c>
      <c r="N1" s="13" t="s">
        <v>10</v>
      </c>
      <c r="P1" t="s">
        <v>14</v>
      </c>
    </row>
    <row r="2" spans="1:25" ht="16.2" thickBot="1" x14ac:dyDescent="0.35">
      <c r="A2" s="19">
        <v>40544</v>
      </c>
      <c r="B2" s="10">
        <v>219</v>
      </c>
      <c r="C2" s="14">
        <v>1</v>
      </c>
      <c r="D2" s="9">
        <v>949.98</v>
      </c>
      <c r="E2" s="15">
        <v>0</v>
      </c>
      <c r="F2" s="15">
        <v>0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6">
        <v>0</v>
      </c>
    </row>
    <row r="3" spans="1:25" ht="16.2" thickBot="1" x14ac:dyDescent="0.35">
      <c r="A3" s="19">
        <v>40575</v>
      </c>
      <c r="B3" s="10">
        <v>175</v>
      </c>
      <c r="C3" s="14">
        <v>2</v>
      </c>
      <c r="D3" s="9">
        <v>949.98</v>
      </c>
      <c r="E3" s="15">
        <v>1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6">
        <v>0</v>
      </c>
      <c r="P3" s="30" t="s">
        <v>15</v>
      </c>
      <c r="Q3" s="30"/>
    </row>
    <row r="4" spans="1:25" ht="16.2" thickBot="1" x14ac:dyDescent="0.35">
      <c r="A4" s="19">
        <v>40603</v>
      </c>
      <c r="B4" s="10">
        <v>306</v>
      </c>
      <c r="C4" s="14">
        <v>3</v>
      </c>
      <c r="D4" s="9">
        <v>949.98</v>
      </c>
      <c r="E4" s="15">
        <v>0</v>
      </c>
      <c r="F4" s="15">
        <v>1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6">
        <v>0</v>
      </c>
      <c r="P4" t="s">
        <v>16</v>
      </c>
      <c r="Q4">
        <v>0.97424169734656363</v>
      </c>
    </row>
    <row r="5" spans="1:25" ht="16.2" thickBot="1" x14ac:dyDescent="0.35">
      <c r="A5" s="19">
        <v>40634</v>
      </c>
      <c r="B5" s="10">
        <v>394</v>
      </c>
      <c r="C5" s="14">
        <v>4</v>
      </c>
      <c r="D5" s="9">
        <v>949.98</v>
      </c>
      <c r="E5" s="15">
        <v>0</v>
      </c>
      <c r="F5" s="15">
        <v>0</v>
      </c>
      <c r="G5" s="15">
        <v>1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6">
        <v>0</v>
      </c>
      <c r="P5" t="s">
        <v>17</v>
      </c>
      <c r="Q5">
        <v>0.94914688484871323</v>
      </c>
    </row>
    <row r="6" spans="1:25" ht="16.2" thickBot="1" x14ac:dyDescent="0.35">
      <c r="A6" s="19">
        <v>40664</v>
      </c>
      <c r="B6" s="10">
        <v>394</v>
      </c>
      <c r="C6" s="14">
        <v>5</v>
      </c>
      <c r="D6" s="9">
        <v>949.98</v>
      </c>
      <c r="E6" s="15">
        <v>0</v>
      </c>
      <c r="F6" s="15">
        <v>0</v>
      </c>
      <c r="G6" s="15">
        <v>0</v>
      </c>
      <c r="H6" s="15">
        <v>1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6">
        <v>0</v>
      </c>
      <c r="P6" t="s">
        <v>18</v>
      </c>
      <c r="Q6">
        <v>0.89367075922912775</v>
      </c>
    </row>
    <row r="7" spans="1:25" ht="16.2" thickBot="1" x14ac:dyDescent="0.35">
      <c r="A7" s="19">
        <v>40695</v>
      </c>
      <c r="B7" s="10">
        <v>131</v>
      </c>
      <c r="C7" s="14">
        <v>6</v>
      </c>
      <c r="D7" s="9">
        <v>949.98</v>
      </c>
      <c r="E7" s="15">
        <v>0</v>
      </c>
      <c r="F7" s="15">
        <v>0</v>
      </c>
      <c r="G7" s="15">
        <v>0</v>
      </c>
      <c r="H7" s="15">
        <v>0</v>
      </c>
      <c r="I7" s="15">
        <v>1</v>
      </c>
      <c r="J7" s="15">
        <v>0</v>
      </c>
      <c r="K7" s="15">
        <v>0</v>
      </c>
      <c r="L7" s="15">
        <v>0</v>
      </c>
      <c r="M7" s="15">
        <v>0</v>
      </c>
      <c r="N7" s="16">
        <v>0</v>
      </c>
      <c r="P7" t="s">
        <v>19</v>
      </c>
      <c r="Q7">
        <v>129.64077125268426</v>
      </c>
    </row>
    <row r="8" spans="1:25" ht="16.2" thickBot="1" x14ac:dyDescent="0.35">
      <c r="A8" s="19">
        <v>40725</v>
      </c>
      <c r="B8" s="10">
        <v>131</v>
      </c>
      <c r="C8" s="14">
        <v>7</v>
      </c>
      <c r="D8" s="9">
        <v>949.98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1</v>
      </c>
      <c r="K8" s="15">
        <v>0</v>
      </c>
      <c r="L8" s="15">
        <v>0</v>
      </c>
      <c r="M8" s="15">
        <v>0</v>
      </c>
      <c r="N8" s="16">
        <v>0</v>
      </c>
      <c r="P8" s="28" t="s">
        <v>20</v>
      </c>
      <c r="Q8" s="28">
        <v>24</v>
      </c>
    </row>
    <row r="9" spans="1:25" ht="16.2" thickBot="1" x14ac:dyDescent="0.35">
      <c r="A9" s="19">
        <v>40756</v>
      </c>
      <c r="B9" s="10">
        <v>438</v>
      </c>
      <c r="C9" s="14">
        <v>8</v>
      </c>
      <c r="D9" s="9">
        <v>949.98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1</v>
      </c>
      <c r="L9" s="15">
        <v>0</v>
      </c>
      <c r="M9" s="15">
        <v>0</v>
      </c>
      <c r="N9" s="16">
        <v>0</v>
      </c>
    </row>
    <row r="10" spans="1:25" ht="16.2" thickBot="1" x14ac:dyDescent="0.35">
      <c r="A10" s="19">
        <v>40787</v>
      </c>
      <c r="B10" s="10">
        <v>525</v>
      </c>
      <c r="C10" s="14">
        <v>9</v>
      </c>
      <c r="D10" s="9">
        <v>949.98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6">
        <v>0</v>
      </c>
      <c r="P10" t="s">
        <v>21</v>
      </c>
    </row>
    <row r="11" spans="1:25" ht="16.2" thickBot="1" x14ac:dyDescent="0.35">
      <c r="A11" s="19">
        <v>40817</v>
      </c>
      <c r="B11" s="10">
        <v>613</v>
      </c>
      <c r="C11" s="14">
        <v>10</v>
      </c>
      <c r="D11" s="9">
        <v>949.98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1</v>
      </c>
      <c r="M11" s="15">
        <v>0</v>
      </c>
      <c r="N11" s="16">
        <v>0</v>
      </c>
      <c r="P11" s="29"/>
      <c r="Q11" s="29" t="s">
        <v>26</v>
      </c>
      <c r="R11" s="29" t="s">
        <v>27</v>
      </c>
      <c r="S11" s="29" t="s">
        <v>28</v>
      </c>
      <c r="T11" s="29" t="s">
        <v>29</v>
      </c>
      <c r="U11" s="29" t="s">
        <v>30</v>
      </c>
    </row>
    <row r="12" spans="1:25" ht="16.2" thickBot="1" x14ac:dyDescent="0.35">
      <c r="A12" s="19">
        <v>40848</v>
      </c>
      <c r="B12" s="10">
        <v>657</v>
      </c>
      <c r="C12" s="14">
        <v>11</v>
      </c>
      <c r="D12" s="9">
        <v>949.98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1</v>
      </c>
      <c r="N12" s="16">
        <v>0</v>
      </c>
      <c r="P12" t="s">
        <v>22</v>
      </c>
      <c r="Q12">
        <v>12</v>
      </c>
      <c r="R12">
        <v>3450577.3080524351</v>
      </c>
      <c r="S12">
        <v>287548.10900436959</v>
      </c>
      <c r="T12">
        <v>17.109105480026937</v>
      </c>
      <c r="U12">
        <v>2.1211876338090558E-5</v>
      </c>
    </row>
    <row r="13" spans="1:25" ht="16.2" thickBot="1" x14ac:dyDescent="0.35">
      <c r="A13" s="19">
        <v>40878</v>
      </c>
      <c r="B13" s="10">
        <v>394</v>
      </c>
      <c r="C13" s="14">
        <v>12</v>
      </c>
      <c r="D13" s="9">
        <v>949.98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6">
        <v>1</v>
      </c>
      <c r="P13" t="s">
        <v>23</v>
      </c>
      <c r="Q13">
        <v>11</v>
      </c>
      <c r="R13">
        <v>184874.02528089887</v>
      </c>
      <c r="S13">
        <v>16806.729570990807</v>
      </c>
    </row>
    <row r="14" spans="1:25" ht="16.2" thickBot="1" x14ac:dyDescent="0.35">
      <c r="A14" s="19">
        <v>40909</v>
      </c>
      <c r="B14" s="10">
        <v>354</v>
      </c>
      <c r="C14" s="14">
        <v>13</v>
      </c>
      <c r="D14" s="9">
        <v>949.98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6">
        <v>0</v>
      </c>
      <c r="P14" s="28" t="s">
        <v>24</v>
      </c>
      <c r="Q14" s="28">
        <v>23</v>
      </c>
      <c r="R14" s="28">
        <v>3635451.333333334</v>
      </c>
      <c r="S14" s="28"/>
      <c r="T14" s="28"/>
      <c r="U14" s="28"/>
    </row>
    <row r="15" spans="1:25" ht="16.2" thickBot="1" x14ac:dyDescent="0.35">
      <c r="A15" s="19">
        <v>40940</v>
      </c>
      <c r="B15" s="10">
        <v>706</v>
      </c>
      <c r="C15" s="14">
        <v>14</v>
      </c>
      <c r="D15" s="9">
        <v>949.98</v>
      </c>
      <c r="E15" s="15">
        <v>1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6">
        <v>0</v>
      </c>
    </row>
    <row r="16" spans="1:25" ht="16.2" thickBot="1" x14ac:dyDescent="0.35">
      <c r="A16" s="19">
        <v>40969</v>
      </c>
      <c r="B16" s="10">
        <v>603</v>
      </c>
      <c r="C16" s="14">
        <v>15</v>
      </c>
      <c r="D16" s="9">
        <v>949.98</v>
      </c>
      <c r="E16" s="15">
        <v>0</v>
      </c>
      <c r="F16" s="15">
        <v>1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6">
        <v>0</v>
      </c>
      <c r="P16" s="29"/>
      <c r="Q16" s="29" t="s">
        <v>31</v>
      </c>
      <c r="R16" s="29" t="s">
        <v>19</v>
      </c>
      <c r="S16" s="29" t="s">
        <v>32</v>
      </c>
      <c r="T16" s="29" t="s">
        <v>33</v>
      </c>
      <c r="U16" s="29" t="s">
        <v>34</v>
      </c>
      <c r="V16" s="29" t="s">
        <v>35</v>
      </c>
      <c r="W16" s="29" t="s">
        <v>36</v>
      </c>
      <c r="X16" s="29" t="s">
        <v>37</v>
      </c>
      <c r="Y16" s="27"/>
    </row>
    <row r="17" spans="1:25" ht="16.2" thickBot="1" x14ac:dyDescent="0.35">
      <c r="A17" s="19">
        <v>41000</v>
      </c>
      <c r="B17" s="10">
        <v>603</v>
      </c>
      <c r="C17" s="14">
        <v>16</v>
      </c>
      <c r="D17" s="9">
        <v>949.98</v>
      </c>
      <c r="E17" s="15">
        <v>0</v>
      </c>
      <c r="F17" s="15">
        <v>0</v>
      </c>
      <c r="G17" s="15">
        <v>1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6">
        <v>0</v>
      </c>
      <c r="P17" t="s">
        <v>25</v>
      </c>
      <c r="Q17">
        <v>4855.1354953728369</v>
      </c>
      <c r="R17">
        <v>794.99961591700185</v>
      </c>
      <c r="S17">
        <v>6.107091623903016</v>
      </c>
      <c r="T17">
        <v>7.6597070630730403E-5</v>
      </c>
      <c r="U17">
        <v>3105.3531384609632</v>
      </c>
      <c r="V17">
        <v>6604.9178522847105</v>
      </c>
      <c r="W17">
        <v>3105.3531384609632</v>
      </c>
      <c r="X17">
        <v>6604.9178522847105</v>
      </c>
    </row>
    <row r="18" spans="1:25" ht="16.2" thickBot="1" x14ac:dyDescent="0.35">
      <c r="A18" s="19">
        <v>41030</v>
      </c>
      <c r="B18" s="10">
        <v>367</v>
      </c>
      <c r="C18" s="14">
        <v>17</v>
      </c>
      <c r="D18" s="9">
        <v>949.98</v>
      </c>
      <c r="E18" s="15">
        <v>0</v>
      </c>
      <c r="F18" s="15">
        <v>0</v>
      </c>
      <c r="G18" s="15">
        <v>0</v>
      </c>
      <c r="H18" s="15">
        <v>1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6">
        <v>0</v>
      </c>
      <c r="P18" t="s">
        <v>12</v>
      </c>
      <c r="Q18">
        <v>15.581460674157306</v>
      </c>
      <c r="R18">
        <v>4.8584933119875275</v>
      </c>
      <c r="S18">
        <v>3.2070561125838402</v>
      </c>
      <c r="T18">
        <v>8.3491603959945475E-3</v>
      </c>
      <c r="U18">
        <v>4.8879889940682837</v>
      </c>
      <c r="V18">
        <v>26.274932354246328</v>
      </c>
      <c r="W18">
        <v>4.8879889940682837</v>
      </c>
      <c r="X18">
        <v>26.274932354246328</v>
      </c>
    </row>
    <row r="19" spans="1:25" ht="16.2" thickBot="1" x14ac:dyDescent="0.35">
      <c r="A19" s="19">
        <v>41061</v>
      </c>
      <c r="B19" s="10">
        <v>328</v>
      </c>
      <c r="C19" s="14">
        <v>18</v>
      </c>
      <c r="D19" s="9">
        <v>949.98</v>
      </c>
      <c r="E19" s="15">
        <v>0</v>
      </c>
      <c r="F19" s="15">
        <v>0</v>
      </c>
      <c r="G19" s="15">
        <v>0</v>
      </c>
      <c r="H19" s="15">
        <v>0</v>
      </c>
      <c r="I19" s="15">
        <v>1</v>
      </c>
      <c r="J19" s="15">
        <v>0</v>
      </c>
      <c r="K19" s="15">
        <v>0</v>
      </c>
      <c r="L19" s="15">
        <v>0</v>
      </c>
      <c r="M19" s="15">
        <v>0</v>
      </c>
      <c r="N19" s="16">
        <v>0</v>
      </c>
      <c r="P19" t="s">
        <v>13</v>
      </c>
      <c r="Q19">
        <v>-4.8925046451383896</v>
      </c>
      <c r="R19">
        <v>0.80547461614885152</v>
      </c>
      <c r="S19">
        <v>-6.0740643429963237</v>
      </c>
      <c r="T19">
        <v>8.028475049738057E-5</v>
      </c>
      <c r="U19">
        <v>-6.6653423221125205</v>
      </c>
      <c r="V19">
        <v>-3.1196669681642586</v>
      </c>
      <c r="W19">
        <v>-6.6653423221125205</v>
      </c>
      <c r="X19">
        <v>-3.1196669681642586</v>
      </c>
    </row>
    <row r="20" spans="1:25" ht="16.2" thickBot="1" x14ac:dyDescent="0.35">
      <c r="A20" s="19">
        <v>41091</v>
      </c>
      <c r="B20" s="10">
        <v>509</v>
      </c>
      <c r="C20" s="14">
        <v>19</v>
      </c>
      <c r="D20" s="9">
        <v>949.98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1</v>
      </c>
      <c r="K20" s="15">
        <v>0</v>
      </c>
      <c r="L20" s="15">
        <v>0</v>
      </c>
      <c r="M20" s="15">
        <v>0</v>
      </c>
      <c r="N20" s="16">
        <v>0</v>
      </c>
      <c r="P20" t="s">
        <v>1</v>
      </c>
      <c r="Q20">
        <v>108.49438202247194</v>
      </c>
      <c r="R20">
        <v>113.21436213487566</v>
      </c>
      <c r="S20">
        <v>0.95830935206983137</v>
      </c>
      <c r="T20">
        <v>0.35849626030873083</v>
      </c>
      <c r="U20">
        <v>-140.68874894563007</v>
      </c>
      <c r="V20">
        <v>357.67751299057397</v>
      </c>
      <c r="W20">
        <v>-140.68874894563007</v>
      </c>
      <c r="X20">
        <v>357.67751299057397</v>
      </c>
    </row>
    <row r="21" spans="1:25" ht="16.2" thickBot="1" x14ac:dyDescent="0.35">
      <c r="A21" s="19">
        <v>41122</v>
      </c>
      <c r="B21" s="10">
        <v>429</v>
      </c>
      <c r="C21" s="14">
        <v>20</v>
      </c>
      <c r="D21" s="9">
        <v>949.98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1</v>
      </c>
      <c r="L21" s="15">
        <v>0</v>
      </c>
      <c r="M21" s="15">
        <v>0</v>
      </c>
      <c r="N21" s="16">
        <v>0</v>
      </c>
      <c r="P21" t="s">
        <v>2</v>
      </c>
      <c r="Q21">
        <v>106.9129213483145</v>
      </c>
      <c r="R21">
        <v>112.69191189829736</v>
      </c>
      <c r="S21">
        <v>0.94871867507937646</v>
      </c>
      <c r="T21">
        <v>0.36314136564648491</v>
      </c>
      <c r="U21">
        <v>-141.12030440219235</v>
      </c>
      <c r="V21">
        <v>354.94614709882131</v>
      </c>
      <c r="W21">
        <v>-141.12030440219235</v>
      </c>
      <c r="X21">
        <v>354.94614709882131</v>
      </c>
    </row>
    <row r="22" spans="1:25" ht="16.2" thickBot="1" x14ac:dyDescent="0.35">
      <c r="A22" s="19">
        <v>41153</v>
      </c>
      <c r="B22" s="10">
        <v>417</v>
      </c>
      <c r="C22" s="14">
        <v>21</v>
      </c>
      <c r="D22" s="9">
        <v>949.98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6">
        <v>0</v>
      </c>
      <c r="P22" t="s">
        <v>3</v>
      </c>
      <c r="Q22">
        <v>135.33146067415723</v>
      </c>
      <c r="R22">
        <v>112.37727588576676</v>
      </c>
      <c r="S22">
        <v>1.2042600214986858</v>
      </c>
      <c r="T22">
        <v>0.25376190936825693</v>
      </c>
      <c r="U22">
        <v>-112.00925588193934</v>
      </c>
      <c r="V22">
        <v>382.67217723025379</v>
      </c>
      <c r="W22">
        <v>-112.00925588193934</v>
      </c>
      <c r="X22">
        <v>382.67217723025379</v>
      </c>
    </row>
    <row r="23" spans="1:25" ht="16.2" thickBot="1" x14ac:dyDescent="0.35">
      <c r="A23" s="19">
        <v>41183</v>
      </c>
      <c r="B23" s="11">
        <v>1553</v>
      </c>
      <c r="C23" s="14">
        <v>22</v>
      </c>
      <c r="D23" s="9">
        <v>799.95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1</v>
      </c>
      <c r="M23" s="15">
        <v>0</v>
      </c>
      <c r="N23" s="16">
        <v>0</v>
      </c>
      <c r="P23" t="s">
        <v>4</v>
      </c>
      <c r="Q23">
        <v>1.7499999999999445</v>
      </c>
      <c r="R23">
        <v>112.27220127103193</v>
      </c>
      <c r="S23">
        <v>1.558711756060913E-2</v>
      </c>
      <c r="T23">
        <v>0.98784290464771907</v>
      </c>
      <c r="U23">
        <v>-245.35944888836292</v>
      </c>
      <c r="V23">
        <v>248.85944888836281</v>
      </c>
      <c r="W23">
        <v>-245.35944888836292</v>
      </c>
      <c r="X23">
        <v>248.85944888836281</v>
      </c>
    </row>
    <row r="24" spans="1:25" ht="16.2" thickBot="1" x14ac:dyDescent="0.35">
      <c r="A24" s="19">
        <v>41214</v>
      </c>
      <c r="B24" s="11">
        <v>1670</v>
      </c>
      <c r="C24" s="14">
        <v>23</v>
      </c>
      <c r="D24" s="9">
        <v>799.95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1</v>
      </c>
      <c r="N24" s="16">
        <v>0</v>
      </c>
      <c r="P24" t="s">
        <v>5</v>
      </c>
      <c r="Q24">
        <v>-164.83146067415734</v>
      </c>
      <c r="R24">
        <v>112.37727588576676</v>
      </c>
      <c r="S24">
        <v>-1.4667686093557835</v>
      </c>
      <c r="T24">
        <v>0.17043729860881096</v>
      </c>
      <c r="U24">
        <v>-412.17217723025391</v>
      </c>
      <c r="V24">
        <v>82.509255881939225</v>
      </c>
      <c r="W24">
        <v>-412.17217723025391</v>
      </c>
      <c r="X24">
        <v>82.509255881939225</v>
      </c>
    </row>
    <row r="25" spans="1:25" ht="16.2" thickBot="1" x14ac:dyDescent="0.35">
      <c r="A25" s="19">
        <v>41244</v>
      </c>
      <c r="B25" s="12">
        <v>1204</v>
      </c>
      <c r="C25" s="14">
        <v>24</v>
      </c>
      <c r="D25" s="9">
        <v>799.95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8">
        <v>1</v>
      </c>
      <c r="O25" s="35" t="s">
        <v>42</v>
      </c>
      <c r="P25" t="s">
        <v>6</v>
      </c>
      <c r="Q25">
        <v>-89.912921348314626</v>
      </c>
      <c r="R25">
        <v>112.69191189829736</v>
      </c>
      <c r="S25">
        <v>-0.79786490293517776</v>
      </c>
      <c r="T25">
        <v>0.44183288055742886</v>
      </c>
      <c r="U25">
        <v>-337.94614709882148</v>
      </c>
      <c r="V25">
        <v>158.1203044021922</v>
      </c>
      <c r="W25">
        <v>-337.94614709882148</v>
      </c>
      <c r="X25">
        <v>158.1203044021922</v>
      </c>
    </row>
    <row r="26" spans="1:25" ht="16.2" thickBot="1" x14ac:dyDescent="0.35">
      <c r="A26" s="19">
        <v>41275</v>
      </c>
      <c r="B26" s="2">
        <v>1069</v>
      </c>
      <c r="C26" s="14">
        <v>25</v>
      </c>
      <c r="D26" s="9">
        <v>799.95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6">
        <v>0</v>
      </c>
      <c r="O26" s="34" cm="1">
        <f t="array" ref="O26">$Q$17+MMULT(C26:N26, $Q$18:$Q$29)</f>
        <v>1330.9129213483147</v>
      </c>
      <c r="P26" t="s">
        <v>7</v>
      </c>
      <c r="Q26">
        <v>8.0056179775280771</v>
      </c>
      <c r="R26">
        <v>113.21436213487561</v>
      </c>
      <c r="S26">
        <v>7.0712035351051555E-2</v>
      </c>
      <c r="T26">
        <v>0.94489615507112767</v>
      </c>
      <c r="U26">
        <v>-241.17751299057383</v>
      </c>
      <c r="V26">
        <v>257.18874894562998</v>
      </c>
      <c r="W26">
        <v>-241.17751299057383</v>
      </c>
      <c r="X26">
        <v>257.18874894562998</v>
      </c>
    </row>
    <row r="27" spans="1:25" ht="16.2" thickBot="1" x14ac:dyDescent="0.35">
      <c r="A27" s="19">
        <v>41306</v>
      </c>
      <c r="B27" s="2">
        <v>1536</v>
      </c>
      <c r="C27" s="14">
        <v>26</v>
      </c>
      <c r="D27" s="9">
        <v>799.95</v>
      </c>
      <c r="E27" s="15">
        <v>1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6">
        <v>0</v>
      </c>
      <c r="O27" s="34" cm="1">
        <f t="array" ref="O27">$Q$17+MMULT(C27:N27, $Q$18:$Q$29)</f>
        <v>1454.9887640449438</v>
      </c>
      <c r="P27" t="s">
        <v>8</v>
      </c>
      <c r="Q27">
        <v>259.33146067415714</v>
      </c>
      <c r="R27">
        <v>124.21664031308715</v>
      </c>
      <c r="S27">
        <v>2.0877352665513578</v>
      </c>
      <c r="T27">
        <v>6.0878642108426299E-2</v>
      </c>
      <c r="U27">
        <v>-14.067521291388459</v>
      </c>
      <c r="V27">
        <v>532.73044263970269</v>
      </c>
      <c r="W27">
        <v>-14.067521291388459</v>
      </c>
      <c r="X27">
        <v>532.73044263970269</v>
      </c>
    </row>
    <row r="28" spans="1:25" s="5" customFormat="1" ht="16.2" thickBot="1" x14ac:dyDescent="0.35">
      <c r="A28" s="19">
        <v>41334</v>
      </c>
      <c r="B28" s="4">
        <v>1490</v>
      </c>
      <c r="C28" s="14">
        <v>27</v>
      </c>
      <c r="D28" s="9">
        <v>799.95</v>
      </c>
      <c r="E28" s="15">
        <v>0</v>
      </c>
      <c r="F28" s="15">
        <v>1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6">
        <v>0</v>
      </c>
      <c r="O28" s="34" cm="1">
        <f t="array" ref="O28">$Q$17+MMULT(C28:N28, $Q$18:$Q$29)</f>
        <v>1468.9887640449433</v>
      </c>
      <c r="P28" t="s">
        <v>9</v>
      </c>
      <c r="Q28">
        <v>324.24999999999989</v>
      </c>
      <c r="R28">
        <v>124.1215886677585</v>
      </c>
      <c r="S28">
        <v>2.6123577975458692</v>
      </c>
      <c r="T28">
        <v>2.4155706739272299E-2</v>
      </c>
      <c r="U28">
        <v>51.060225295264956</v>
      </c>
      <c r="V28">
        <v>597.43977470473487</v>
      </c>
      <c r="W28">
        <v>51.060225295264956</v>
      </c>
      <c r="X28">
        <v>597.43977470473487</v>
      </c>
      <c r="Y28"/>
    </row>
    <row r="29" spans="1:25" s="3" customFormat="1" ht="16.2" thickBot="1" x14ac:dyDescent="0.35">
      <c r="A29" s="22"/>
      <c r="B29" s="26">
        <f>SUM(B26:B28)</f>
        <v>4095</v>
      </c>
      <c r="D29" s="2"/>
      <c r="O29" s="25"/>
      <c r="P29" s="28" t="s">
        <v>10</v>
      </c>
      <c r="Q29" s="28">
        <v>-55.831460674157384</v>
      </c>
      <c r="R29" s="28">
        <v>124.21664031308717</v>
      </c>
      <c r="S29" s="28">
        <v>-0.44946844910178363</v>
      </c>
      <c r="T29" s="28">
        <v>0.66182110944583195</v>
      </c>
      <c r="U29" s="28">
        <v>-329.23044263970297</v>
      </c>
      <c r="V29" s="28">
        <v>217.56752129138823</v>
      </c>
      <c r="W29" s="28">
        <v>-329.23044263970297</v>
      </c>
      <c r="X29" s="28">
        <v>217.56752129138823</v>
      </c>
      <c r="Y29"/>
    </row>
    <row r="31" spans="1:25" x14ac:dyDescent="0.3">
      <c r="M31">
        <f>ABS(B26-O26)</f>
        <v>261.91292134831474</v>
      </c>
      <c r="O31" s="23"/>
    </row>
    <row r="32" spans="1:25" x14ac:dyDescent="0.3">
      <c r="M32">
        <f t="shared" ref="M32:M33" si="0">ABS(B27-O27)</f>
        <v>81.011235955056236</v>
      </c>
      <c r="N32" s="23"/>
      <c r="O32" s="23"/>
    </row>
    <row r="33" spans="12:20" x14ac:dyDescent="0.3">
      <c r="M33">
        <f t="shared" si="0"/>
        <v>21.011235955056691</v>
      </c>
      <c r="N33" s="23"/>
      <c r="O33" s="23"/>
      <c r="P33" t="s">
        <v>38</v>
      </c>
    </row>
    <row r="34" spans="12:20" ht="16.2" thickBot="1" x14ac:dyDescent="0.35">
      <c r="L34" t="s">
        <v>43</v>
      </c>
      <c r="M34">
        <f>AVERAGE(M31:M33)</f>
        <v>121.31179775280923</v>
      </c>
      <c r="N34" s="24"/>
      <c r="O34" s="23"/>
    </row>
    <row r="35" spans="12:20" x14ac:dyDescent="0.3">
      <c r="L35" t="s">
        <v>44</v>
      </c>
      <c r="M35" s="31">
        <f>M34*3 / SUM(B26:B28)</f>
        <v>8.8873111906819943E-2</v>
      </c>
      <c r="P35" s="29" t="s">
        <v>39</v>
      </c>
      <c r="Q35" s="29" t="s">
        <v>40</v>
      </c>
      <c r="R35" s="29" t="s">
        <v>41</v>
      </c>
    </row>
    <row r="36" spans="12:20" x14ac:dyDescent="0.3">
      <c r="P36">
        <v>1</v>
      </c>
      <c r="Q36">
        <v>222.9353932584263</v>
      </c>
      <c r="R36">
        <v>-3.9353932584263021</v>
      </c>
      <c r="T36">
        <f>R36^2</f>
        <v>15.487320098467187</v>
      </c>
    </row>
    <row r="37" spans="12:20" x14ac:dyDescent="0.3">
      <c r="P37">
        <v>2</v>
      </c>
      <c r="Q37">
        <v>347.01123595505607</v>
      </c>
      <c r="R37">
        <v>-172.01123595505607</v>
      </c>
      <c r="S37">
        <f>(R37-R36)^2</f>
        <v>28249.488898182233</v>
      </c>
      <c r="T37">
        <f t="shared" ref="T37:T59" si="1">R37^2</f>
        <v>29587.865294785974</v>
      </c>
    </row>
    <row r="38" spans="12:20" x14ac:dyDescent="0.3">
      <c r="P38">
        <v>3</v>
      </c>
      <c r="Q38">
        <v>361.01123595505555</v>
      </c>
      <c r="R38">
        <v>-55.011235955055554</v>
      </c>
      <c r="S38">
        <f t="shared" ref="S38:S59" si="2">(R38-R37)^2</f>
        <v>13689.00000000012</v>
      </c>
      <c r="T38">
        <f t="shared" si="1"/>
        <v>3026.2360813027967</v>
      </c>
    </row>
    <row r="39" spans="12:20" x14ac:dyDescent="0.3">
      <c r="P39">
        <v>4</v>
      </c>
      <c r="Q39">
        <v>405.01123595505612</v>
      </c>
      <c r="R39">
        <v>-11.011235955056122</v>
      </c>
      <c r="S39">
        <f t="shared" si="2"/>
        <v>1935.99999999995</v>
      </c>
      <c r="T39">
        <f t="shared" si="1"/>
        <v>121.24731725792071</v>
      </c>
    </row>
    <row r="40" spans="12:20" x14ac:dyDescent="0.3">
      <c r="P40">
        <v>5</v>
      </c>
      <c r="Q40">
        <v>287.01123595505572</v>
      </c>
      <c r="R40">
        <v>106.98876404494428</v>
      </c>
      <c r="S40">
        <f t="shared" si="2"/>
        <v>13924.000000000095</v>
      </c>
      <c r="T40">
        <f t="shared" si="1"/>
        <v>11446.59563186476</v>
      </c>
    </row>
    <row r="41" spans="12:20" x14ac:dyDescent="0.3">
      <c r="P41">
        <v>6</v>
      </c>
      <c r="Q41">
        <v>136.01123595505626</v>
      </c>
      <c r="R41">
        <v>-5.0112359550562644</v>
      </c>
      <c r="S41">
        <f t="shared" si="2"/>
        <v>12544.00000000012</v>
      </c>
      <c r="T41">
        <f t="shared" si="1"/>
        <v>25.11248579724867</v>
      </c>
    </row>
    <row r="42" spans="12:20" x14ac:dyDescent="0.3">
      <c r="P42">
        <v>7</v>
      </c>
      <c r="Q42">
        <v>226.51123595505589</v>
      </c>
      <c r="R42">
        <v>-95.511235955055895</v>
      </c>
      <c r="S42">
        <f t="shared" si="2"/>
        <v>8190.2499999999327</v>
      </c>
      <c r="T42">
        <f t="shared" si="1"/>
        <v>9122.3961936623618</v>
      </c>
    </row>
    <row r="43" spans="12:20" x14ac:dyDescent="0.3">
      <c r="P43">
        <v>8</v>
      </c>
      <c r="Q43">
        <v>340.0112359550555</v>
      </c>
      <c r="R43">
        <v>97.988764044944503</v>
      </c>
      <c r="S43">
        <f t="shared" si="2"/>
        <v>37442.250000000153</v>
      </c>
      <c r="T43">
        <f t="shared" si="1"/>
        <v>9601.7978790558082</v>
      </c>
    </row>
    <row r="44" spans="12:20" x14ac:dyDescent="0.3">
      <c r="P44">
        <v>9</v>
      </c>
      <c r="Q44">
        <v>347.58707865168526</v>
      </c>
      <c r="R44">
        <v>177.41292134831474</v>
      </c>
      <c r="S44">
        <f t="shared" si="2"/>
        <v>6308.1967633505001</v>
      </c>
      <c r="T44">
        <f t="shared" si="1"/>
        <v>31475.344661343312</v>
      </c>
    </row>
    <row r="45" spans="12:20" x14ac:dyDescent="0.3">
      <c r="P45">
        <v>10</v>
      </c>
      <c r="Q45">
        <v>622.49999999999932</v>
      </c>
      <c r="R45">
        <v>-9.4999999999993179</v>
      </c>
      <c r="S45">
        <f t="shared" si="2"/>
        <v>34936.440166961038</v>
      </c>
      <c r="T45">
        <f t="shared" si="1"/>
        <v>90.24999999998704</v>
      </c>
    </row>
    <row r="46" spans="12:20" x14ac:dyDescent="0.3">
      <c r="P46">
        <v>11</v>
      </c>
      <c r="Q46">
        <v>702.99999999999989</v>
      </c>
      <c r="R46">
        <v>-45.999999999999886</v>
      </c>
      <c r="S46">
        <f t="shared" si="2"/>
        <v>1332.2500000000414</v>
      </c>
      <c r="T46">
        <f t="shared" si="1"/>
        <v>2115.9999999999895</v>
      </c>
    </row>
    <row r="47" spans="12:20" x14ac:dyDescent="0.3">
      <c r="P47">
        <v>12</v>
      </c>
      <c r="Q47">
        <v>338.49999999999955</v>
      </c>
      <c r="R47">
        <v>55.500000000000455</v>
      </c>
      <c r="S47">
        <f t="shared" si="2"/>
        <v>10302.250000000069</v>
      </c>
      <c r="T47">
        <f t="shared" si="1"/>
        <v>3080.2500000000505</v>
      </c>
    </row>
    <row r="48" spans="12:20" x14ac:dyDescent="0.3">
      <c r="P48">
        <v>13</v>
      </c>
      <c r="Q48">
        <v>409.91292134831474</v>
      </c>
      <c r="R48">
        <v>-55.91292134831474</v>
      </c>
      <c r="S48">
        <f t="shared" si="2"/>
        <v>12412.839043365868</v>
      </c>
      <c r="T48">
        <f t="shared" si="1"/>
        <v>3126.2547737028303</v>
      </c>
    </row>
    <row r="49" spans="16:31" x14ac:dyDescent="0.3">
      <c r="P49">
        <v>14</v>
      </c>
      <c r="Q49">
        <v>533.98876404494354</v>
      </c>
      <c r="R49">
        <v>172.01123595505646</v>
      </c>
      <c r="S49">
        <f t="shared" si="2"/>
        <v>51949.4214824519</v>
      </c>
      <c r="T49">
        <f t="shared" si="1"/>
        <v>29587.865294786108</v>
      </c>
    </row>
    <row r="50" spans="16:31" x14ac:dyDescent="0.3">
      <c r="P50">
        <v>15</v>
      </c>
      <c r="Q50">
        <v>547.98876404494308</v>
      </c>
      <c r="R50">
        <v>55.011235955056918</v>
      </c>
      <c r="S50">
        <f t="shared" si="2"/>
        <v>13688.999999999894</v>
      </c>
      <c r="T50">
        <f t="shared" si="1"/>
        <v>3026.2360813029472</v>
      </c>
    </row>
    <row r="51" spans="16:31" x14ac:dyDescent="0.3">
      <c r="P51">
        <v>16</v>
      </c>
      <c r="Q51">
        <v>591.98876404494365</v>
      </c>
      <c r="R51">
        <v>11.01123595505635</v>
      </c>
      <c r="S51">
        <f t="shared" si="2"/>
        <v>1936.00000000005</v>
      </c>
      <c r="T51">
        <f t="shared" si="1"/>
        <v>121.24731725792572</v>
      </c>
    </row>
    <row r="52" spans="16:31" x14ac:dyDescent="0.3">
      <c r="P52">
        <v>17</v>
      </c>
      <c r="Q52">
        <v>473.98876404494325</v>
      </c>
      <c r="R52">
        <v>-106.98876404494325</v>
      </c>
      <c r="S52">
        <f t="shared" si="2"/>
        <v>13923.999999999905</v>
      </c>
      <c r="T52">
        <f t="shared" si="1"/>
        <v>11446.595631864542</v>
      </c>
      <c r="U52">
        <f>SKEW(R36:R59)</f>
        <v>0.24907567478205889</v>
      </c>
    </row>
    <row r="53" spans="16:31" x14ac:dyDescent="0.3">
      <c r="P53">
        <v>18</v>
      </c>
      <c r="Q53">
        <v>322.98876404494376</v>
      </c>
      <c r="R53">
        <v>5.011235955056236</v>
      </c>
      <c r="S53">
        <f t="shared" si="2"/>
        <v>12543.999999999885</v>
      </c>
      <c r="T53">
        <f t="shared" si="1"/>
        <v>25.112485797248386</v>
      </c>
      <c r="U53">
        <f>KURT(R36:R59)</f>
        <v>-0.28749513464011356</v>
      </c>
    </row>
    <row r="54" spans="16:31" x14ac:dyDescent="0.3">
      <c r="P54">
        <v>19</v>
      </c>
      <c r="Q54">
        <v>413.48876404494342</v>
      </c>
      <c r="R54">
        <v>95.511235955056577</v>
      </c>
      <c r="S54">
        <f t="shared" si="2"/>
        <v>8190.2500000000618</v>
      </c>
      <c r="T54">
        <f t="shared" si="1"/>
        <v>9122.3961936624928</v>
      </c>
    </row>
    <row r="55" spans="16:31" x14ac:dyDescent="0.3">
      <c r="P55">
        <v>20</v>
      </c>
      <c r="Q55">
        <v>526.98876404494399</v>
      </c>
      <c r="R55">
        <v>-97.988764044943991</v>
      </c>
      <c r="S55">
        <f t="shared" si="2"/>
        <v>37442.250000000218</v>
      </c>
      <c r="T55">
        <f t="shared" si="1"/>
        <v>9601.7978790557081</v>
      </c>
    </row>
    <row r="56" spans="16:31" x14ac:dyDescent="0.3">
      <c r="P56">
        <v>21</v>
      </c>
      <c r="Q56">
        <v>534.56460674157279</v>
      </c>
      <c r="R56">
        <v>-117.56460674157279</v>
      </c>
      <c r="S56">
        <f t="shared" si="2"/>
        <v>383.21361728315503</v>
      </c>
      <c r="T56">
        <f t="shared" si="1"/>
        <v>13821.436758300662</v>
      </c>
    </row>
    <row r="57" spans="16:31" x14ac:dyDescent="0.3">
      <c r="P57">
        <v>22</v>
      </c>
      <c r="Q57">
        <v>1543.4999999999993</v>
      </c>
      <c r="R57">
        <v>9.5000000000006821</v>
      </c>
      <c r="S57">
        <f t="shared" si="2"/>
        <v>16145.414286390718</v>
      </c>
      <c r="T57">
        <f t="shared" si="1"/>
        <v>90.25000000001296</v>
      </c>
    </row>
    <row r="58" spans="16:31" x14ac:dyDescent="0.3">
      <c r="P58">
        <v>23</v>
      </c>
      <c r="Q58">
        <v>1624</v>
      </c>
      <c r="R58">
        <v>46</v>
      </c>
      <c r="S58">
        <f t="shared" si="2"/>
        <v>1332.2499999999502</v>
      </c>
      <c r="T58">
        <f t="shared" si="1"/>
        <v>2116</v>
      </c>
      <c r="X58" s="32"/>
      <c r="Y58" s="32"/>
      <c r="Z58" s="32"/>
      <c r="AA58" s="32"/>
      <c r="AB58" s="32"/>
      <c r="AC58" s="32"/>
      <c r="AD58" s="32"/>
      <c r="AE58" s="32"/>
    </row>
    <row r="59" spans="16:31" ht="16.2" thickBot="1" x14ac:dyDescent="0.35">
      <c r="P59" s="28">
        <v>24</v>
      </c>
      <c r="Q59" s="28">
        <v>1259.4999999999995</v>
      </c>
      <c r="R59" s="28">
        <v>-55.499999999999545</v>
      </c>
      <c r="S59">
        <f t="shared" si="2"/>
        <v>10302.249999999907</v>
      </c>
      <c r="T59">
        <f t="shared" si="1"/>
        <v>3080.2499999999495</v>
      </c>
      <c r="X59" s="32"/>
      <c r="Y59" s="32"/>
      <c r="Z59" s="32"/>
      <c r="AA59" s="32"/>
      <c r="AB59" s="32"/>
      <c r="AC59" s="32"/>
      <c r="AD59" s="32"/>
      <c r="AE59" s="32"/>
    </row>
    <row r="60" spans="16:31" x14ac:dyDescent="0.3">
      <c r="R60">
        <f>AVERAGE(R36:R59)</f>
        <v>3.114545658415106E-13</v>
      </c>
      <c r="S60">
        <f>SUM(S37:S59)</f>
        <v>349105.01425798569</v>
      </c>
      <c r="T60">
        <f>SUM(T36:T59)</f>
        <v>184874.02528089905</v>
      </c>
      <c r="X60" s="32"/>
      <c r="Y60" s="32"/>
      <c r="Z60" s="32"/>
      <c r="AA60" s="32"/>
      <c r="AB60" s="32"/>
      <c r="AC60" s="32"/>
      <c r="AD60" s="32"/>
      <c r="AE60" s="32"/>
    </row>
    <row r="61" spans="16:31" x14ac:dyDescent="0.3">
      <c r="T61">
        <f>S60/T60</f>
        <v>1.8883399857148824</v>
      </c>
      <c r="X61" s="32"/>
      <c r="Y61" s="32"/>
      <c r="Z61" s="32"/>
      <c r="AA61" s="32"/>
      <c r="AB61" s="32"/>
      <c r="AC61" s="32"/>
      <c r="AD61" s="32"/>
      <c r="AE61" s="32"/>
    </row>
    <row r="62" spans="16:31" x14ac:dyDescent="0.3">
      <c r="X62" s="32"/>
      <c r="Y62" s="32"/>
      <c r="Z62" s="32"/>
      <c r="AA62" s="32"/>
      <c r="AB62" s="32"/>
      <c r="AC62" s="32"/>
      <c r="AD62" s="32"/>
      <c r="AE62" s="32"/>
    </row>
    <row r="63" spans="16:31" x14ac:dyDescent="0.3">
      <c r="X63" s="32"/>
      <c r="Y63" s="32"/>
      <c r="Z63" s="32"/>
      <c r="AA63" s="32"/>
      <c r="AB63" s="32"/>
      <c r="AC63" s="32"/>
      <c r="AD63" s="32"/>
      <c r="AE63" s="32"/>
    </row>
    <row r="64" spans="16:31" x14ac:dyDescent="0.3">
      <c r="X64" s="32"/>
      <c r="Y64" s="33"/>
      <c r="Z64" s="33"/>
      <c r="AA64" s="32"/>
      <c r="AB64" s="32"/>
      <c r="AC64" s="32"/>
      <c r="AD64" s="32"/>
      <c r="AE64" s="32"/>
    </row>
    <row r="65" spans="24:31" x14ac:dyDescent="0.3">
      <c r="X65" s="32"/>
      <c r="Y65" s="32"/>
      <c r="Z65" s="32"/>
      <c r="AA65" s="32"/>
      <c r="AB65" s="32"/>
      <c r="AC65" s="32"/>
      <c r="AD65" s="32"/>
      <c r="AE65" s="32"/>
    </row>
    <row r="66" spans="24:31" x14ac:dyDescent="0.3">
      <c r="X66" s="32"/>
      <c r="Y66" s="32"/>
      <c r="Z66" s="32"/>
      <c r="AA66" s="32"/>
      <c r="AB66" s="32"/>
      <c r="AC66" s="32"/>
      <c r="AD66" s="32"/>
      <c r="AE66" s="32"/>
    </row>
    <row r="67" spans="24:31" x14ac:dyDescent="0.3">
      <c r="X67" s="32"/>
      <c r="Y67" s="32"/>
      <c r="Z67" s="32"/>
      <c r="AA67" s="32"/>
      <c r="AB67" s="32"/>
      <c r="AC67" s="32"/>
      <c r="AD67" s="32"/>
      <c r="AE67" s="32"/>
    </row>
    <row r="68" spans="24:31" x14ac:dyDescent="0.3">
      <c r="X68" s="32"/>
      <c r="Y68" s="32"/>
      <c r="Z68" s="32"/>
      <c r="AA68" s="32"/>
      <c r="AB68" s="32"/>
      <c r="AC68" s="32"/>
      <c r="AD68" s="32"/>
      <c r="AE68" s="32"/>
    </row>
    <row r="69" spans="24:31" x14ac:dyDescent="0.3">
      <c r="X69" s="32"/>
      <c r="Y69" s="32"/>
      <c r="Z69" s="32"/>
      <c r="AA69" s="32"/>
      <c r="AB69" s="32"/>
      <c r="AC69" s="32"/>
      <c r="AD69" s="32"/>
      <c r="AE69" s="32"/>
    </row>
    <row r="70" spans="24:31" x14ac:dyDescent="0.3">
      <c r="X70" s="32"/>
      <c r="Y70" s="32"/>
      <c r="Z70" s="32"/>
      <c r="AA70" s="32"/>
      <c r="AB70" s="32"/>
      <c r="AC70" s="32"/>
      <c r="AD70" s="32"/>
      <c r="AE70" s="32"/>
    </row>
    <row r="71" spans="24:31" x14ac:dyDescent="0.3">
      <c r="X71" s="32"/>
      <c r="Y71" s="32"/>
      <c r="Z71" s="32"/>
      <c r="AA71" s="32"/>
      <c r="AB71" s="32"/>
      <c r="AC71" s="32"/>
      <c r="AD71" s="32"/>
      <c r="AE71" s="32"/>
    </row>
    <row r="72" spans="24:31" x14ac:dyDescent="0.3">
      <c r="X72" s="32"/>
      <c r="Y72" s="32"/>
      <c r="Z72" s="32"/>
      <c r="AA72" s="32"/>
      <c r="AB72" s="32"/>
      <c r="AC72" s="32"/>
      <c r="AD72" s="32"/>
      <c r="AE72" s="32"/>
    </row>
    <row r="73" spans="24:31" x14ac:dyDescent="0.3">
      <c r="X73" s="32"/>
      <c r="Y73" s="32"/>
      <c r="Z73" s="32"/>
      <c r="AA73" s="32"/>
      <c r="AB73" s="32"/>
      <c r="AC73" s="32"/>
      <c r="AD73" s="32"/>
      <c r="AE73" s="32"/>
    </row>
    <row r="74" spans="24:31" x14ac:dyDescent="0.3">
      <c r="X74" s="32"/>
      <c r="Y74" s="32"/>
      <c r="Z74" s="32"/>
      <c r="AA74" s="32"/>
      <c r="AB74" s="32"/>
      <c r="AC74" s="32"/>
      <c r="AD74" s="32"/>
      <c r="AE74" s="32"/>
    </row>
    <row r="75" spans="24:31" x14ac:dyDescent="0.3">
      <c r="X75" s="32"/>
      <c r="Y75" s="32"/>
      <c r="Z75" s="32"/>
      <c r="AA75" s="32"/>
      <c r="AB75" s="32"/>
      <c r="AC75" s="32"/>
      <c r="AD75" s="32"/>
      <c r="AE75" s="32"/>
    </row>
    <row r="76" spans="24:31" x14ac:dyDescent="0.3">
      <c r="X76" s="32"/>
      <c r="Y76" s="32"/>
      <c r="Z76" s="32"/>
      <c r="AA76" s="32"/>
      <c r="AB76" s="32"/>
      <c r="AC76" s="32"/>
      <c r="AD76" s="32"/>
      <c r="AE76" s="32"/>
    </row>
    <row r="77" spans="24:31" x14ac:dyDescent="0.3">
      <c r="X77" s="32"/>
      <c r="Y77" s="32"/>
      <c r="Z77" s="32"/>
      <c r="AA77" s="32"/>
      <c r="AB77" s="32"/>
      <c r="AC77" s="32"/>
      <c r="AD77" s="32"/>
      <c r="AE77" s="32"/>
    </row>
    <row r="78" spans="24:31" x14ac:dyDescent="0.3">
      <c r="X78" s="32"/>
      <c r="Y78" s="32"/>
      <c r="Z78" s="32"/>
      <c r="AA78" s="32"/>
      <c r="AB78" s="32"/>
      <c r="AC78" s="32"/>
      <c r="AD78" s="32"/>
      <c r="AE78" s="32"/>
    </row>
    <row r="79" spans="24:31" x14ac:dyDescent="0.3">
      <c r="X79" s="32"/>
      <c r="Y79" s="32"/>
      <c r="Z79" s="32"/>
      <c r="AA79" s="32"/>
      <c r="AB79" s="32"/>
      <c r="AC79" s="32"/>
      <c r="AD79" s="32"/>
      <c r="AE79" s="32"/>
    </row>
  </sheetData>
  <pageMargins left="0.75" right="0.75" top="1" bottom="1" header="0.5" footer="0.5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Can</cp:lastModifiedBy>
  <cp:lastPrinted>2013-04-19T19:32:59Z</cp:lastPrinted>
  <dcterms:created xsi:type="dcterms:W3CDTF">2013-02-13T20:01:55Z</dcterms:created>
  <dcterms:modified xsi:type="dcterms:W3CDTF">2026-08-31T16:53:34Z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d38dba0c-4b73-4a26-8d77-07369e480e47</vt:lpwstr>
  </property>
</Properties>
</file>